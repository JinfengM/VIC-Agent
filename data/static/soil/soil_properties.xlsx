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90" yWindow="-90" windowWidth="17475" windowHeight="10275"/>
  </bookViews>
  <sheets>
    <sheet name="Sheet1" sheetId="1" r:id="rId1"/>
    <sheet name="补充计算说明不采用" sheetId="2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83" i="2" l="1"/>
  <c r="D84" i="2" s="1"/>
  <c r="D82" i="2"/>
  <c r="A6" i="2" l="1"/>
</calcChain>
</file>

<file path=xl/sharedStrings.xml><?xml version="1.0" encoding="utf-8"?>
<sst xmlns="http://schemas.openxmlformats.org/spreadsheetml/2006/main" count="93" uniqueCount="87">
  <si>
    <t>说明文件</t>
    <phoneticPr fontId="2" type="noConversion"/>
  </si>
  <si>
    <t>饱和水力传导变率，根据每层的土壤数据不同而不同</t>
    <phoneticPr fontId="2" type="noConversion"/>
  </si>
  <si>
    <t>饱和水力传导率，采用saxton公式计算</t>
    <phoneticPr fontId="2" type="noConversion"/>
  </si>
  <si>
    <t>网格平均高程</t>
    <phoneticPr fontId="2" type="noConversion"/>
  </si>
  <si>
    <t>第一、二、三层土壤厚度</t>
    <phoneticPr fontId="2" type="noConversion"/>
  </si>
  <si>
    <t>土壤热阻尼深度，默认为4</t>
    <phoneticPr fontId="2" type="noConversion"/>
  </si>
  <si>
    <t>土壤气泡压力，根据每层不同计算得到。</t>
    <phoneticPr fontId="2" type="noConversion"/>
  </si>
  <si>
    <t>总体密度，根据每层不同计算得到。</t>
    <phoneticPr fontId="2" type="noConversion"/>
  </si>
  <si>
    <t>时区补偿值，根据研究去修改</t>
    <phoneticPr fontId="2" type="noConversion"/>
  </si>
  <si>
    <t>Wcr_fract，采用saxton公式计算</t>
    <phoneticPr fontId="2" type="noConversion"/>
  </si>
  <si>
    <t>裸土地表糙率，默认0.001</t>
    <phoneticPr fontId="2" type="noConversion"/>
  </si>
  <si>
    <t>雪带地表糙率，默认为0.0005</t>
    <phoneticPr fontId="2" type="noConversion"/>
  </si>
  <si>
    <t>年平均降雨</t>
    <phoneticPr fontId="2" type="noConversion"/>
  </si>
  <si>
    <t>土层剩余含水量，根据每层土计算</t>
    <phoneticPr fontId="2" type="noConversion"/>
  </si>
  <si>
    <t>？</t>
    <phoneticPr fontId="2" type="noConversion"/>
  </si>
  <si>
    <t>#RUN</t>
  </si>
  <si>
    <t>GRID</t>
  </si>
  <si>
    <t>LAT</t>
  </si>
  <si>
    <t>LNG</t>
  </si>
  <si>
    <t>INFILT</t>
  </si>
  <si>
    <t>Ds</t>
  </si>
  <si>
    <t>Ds_MAX</t>
  </si>
  <si>
    <t>Ws</t>
  </si>
  <si>
    <t>C</t>
  </si>
  <si>
    <t>EXPT_1</t>
  </si>
  <si>
    <t>EXPT_2</t>
  </si>
  <si>
    <t>EXPT_3</t>
  </si>
  <si>
    <t>Ksat_1</t>
  </si>
  <si>
    <t>Ksat_2</t>
  </si>
  <si>
    <t>Ksat_3</t>
  </si>
  <si>
    <t>PHI_1</t>
  </si>
  <si>
    <t>PHI_2</t>
  </si>
  <si>
    <t>PHI_3</t>
  </si>
  <si>
    <t>MOIST_1</t>
  </si>
  <si>
    <t>MOIST_2</t>
  </si>
  <si>
    <t>MOIST_3</t>
  </si>
  <si>
    <t>ELEV</t>
  </si>
  <si>
    <t>DEPTH_1</t>
  </si>
  <si>
    <t>DEPTH_2</t>
  </si>
  <si>
    <t>DEPTH_3</t>
  </si>
  <si>
    <t>AVG_T</t>
  </si>
  <si>
    <t>DP</t>
  </si>
  <si>
    <t>BUBLE1</t>
  </si>
  <si>
    <t>BUBLE2</t>
  </si>
  <si>
    <t>BUBLE3</t>
  </si>
  <si>
    <t>QUARZ1</t>
  </si>
  <si>
    <t>QUARZ2</t>
  </si>
  <si>
    <t>QUARZ3</t>
  </si>
  <si>
    <t>BULKDN1</t>
  </si>
  <si>
    <t>BULKDN2</t>
  </si>
  <si>
    <t>BULKDN3</t>
  </si>
  <si>
    <t>PARTDN1</t>
  </si>
  <si>
    <t>PARTDN2</t>
  </si>
  <si>
    <t>PARTDN3</t>
  </si>
  <si>
    <t>OFF_GMT</t>
  </si>
  <si>
    <t>WpFT1</t>
  </si>
  <si>
    <t>WpFT2</t>
  </si>
  <si>
    <t>WpFT3</t>
  </si>
  <si>
    <t>Z0_SOIL</t>
  </si>
  <si>
    <t>Z0_SNOW</t>
  </si>
  <si>
    <t>PRCP</t>
  </si>
  <si>
    <t>RESM1</t>
  </si>
  <si>
    <t>RESM2</t>
  </si>
  <si>
    <t>RESM3</t>
  </si>
  <si>
    <t>FS_ACTV</t>
  </si>
  <si>
    <t>土壤含水扩散系数，采用缺省默认值-9999</t>
    <phoneticPr fontId="2" type="noConversion"/>
  </si>
  <si>
    <t>纬度</t>
    <phoneticPr fontId="2" type="noConversion"/>
  </si>
  <si>
    <t>经度</t>
    <phoneticPr fontId="2" type="noConversion"/>
  </si>
  <si>
    <t>饱和容量曲线参数</t>
    <phoneticPr fontId="2" type="noConversion"/>
  </si>
  <si>
    <t>非线性基流发生时占Dsmax的比例</t>
    <phoneticPr fontId="2" type="noConversion"/>
  </si>
  <si>
    <t>基流日最大出流</t>
    <phoneticPr fontId="2" type="noConversion"/>
  </si>
  <si>
    <t>非线性基流发生时占最大含水量的比例</t>
    <phoneticPr fontId="2" type="noConversion"/>
  </si>
  <si>
    <t>在下渗曲线中所用的指数</t>
    <phoneticPr fontId="2" type="noConversion"/>
  </si>
  <si>
    <t>土壤含砂量，来自USD所给土壤分类指标</t>
    <phoneticPr fontId="2" type="noConversion"/>
  </si>
  <si>
    <t>凋萎点每个土壤含水量，采用saxton公式计算</t>
    <phoneticPr fontId="2" type="noConversion"/>
  </si>
  <si>
    <t>初始含水量，首次运行使用临界含水量</t>
    <phoneticPr fontId="2" type="noConversion"/>
  </si>
  <si>
    <t>土壤颗粒密度</t>
    <phoneticPr fontId="2" type="noConversion"/>
  </si>
  <si>
    <t>平均土壤温度，根据区域定义（中国土壤温度的空间预测研究）</t>
    <phoneticPr fontId="2" type="noConversion"/>
  </si>
  <si>
    <t>网格编号0代表水体</t>
    <phoneticPr fontId="2" type="noConversion"/>
  </si>
  <si>
    <t>θ1500 = θ1500t +(0.14 × θ1500t - 0.02) θ1500t = -0.024S+ 0.487C+ 0.006OM+ 0.005(S× OM ) - 0.013(C× OM ) + 0.068(S×C ) + 0.031</t>
  </si>
  <si>
    <t>这个是从swat数据库截取的，那边是260mm/h,这里单位是mm/day,所以直接乘以24</t>
    <phoneticPr fontId="1" type="noConversion"/>
  </si>
  <si>
    <t>=</t>
    <phoneticPr fontId="1" type="noConversion"/>
  </si>
  <si>
    <r>
      <rPr>
        <sz val="11"/>
        <color theme="1"/>
        <rFont val="Calibri"/>
        <family val="2"/>
        <charset val="161"/>
      </rPr>
      <t>θ</t>
    </r>
    <r>
      <rPr>
        <sz val="11"/>
        <color theme="1"/>
        <rFont val="宋体"/>
        <family val="2"/>
        <scheme val="minor"/>
      </rPr>
      <t>(S- 33)t</t>
    </r>
    <phoneticPr fontId="1" type="noConversion"/>
  </si>
  <si>
    <r>
      <rPr>
        <sz val="11"/>
        <color theme="1"/>
        <rFont val="Calibri"/>
        <family val="2"/>
        <charset val="161"/>
      </rPr>
      <t>θ</t>
    </r>
    <r>
      <rPr>
        <sz val="11"/>
        <color theme="1"/>
        <rFont val="宋体"/>
        <family val="2"/>
        <scheme val="minor"/>
      </rPr>
      <t>(S- 33)</t>
    </r>
    <phoneticPr fontId="1" type="noConversion"/>
  </si>
  <si>
    <r>
      <rPr>
        <sz val="11"/>
        <color theme="1"/>
        <rFont val="Calibri"/>
        <family val="2"/>
        <charset val="161"/>
      </rPr>
      <t>ψ</t>
    </r>
    <r>
      <rPr>
        <sz val="11"/>
        <color theme="1"/>
        <rFont val="宋体"/>
        <family val="2"/>
        <scheme val="minor"/>
      </rPr>
      <t>et</t>
    </r>
    <phoneticPr fontId="1" type="noConversion"/>
  </si>
  <si>
    <r>
      <rPr>
        <sz val="11"/>
        <color theme="1"/>
        <rFont val="Calibri"/>
        <family val="2"/>
        <charset val="161"/>
      </rPr>
      <t>ψ</t>
    </r>
    <r>
      <rPr>
        <sz val="11"/>
        <color theme="1"/>
        <rFont val="宋体"/>
        <family val="2"/>
        <scheme val="minor"/>
      </rPr>
      <t>e</t>
    </r>
    <phoneticPr fontId="1" type="noConversion"/>
  </si>
  <si>
    <t>最后一行的数字为自己补充的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</si>
</sst>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1"/>
      <color rgb="FFFF0000"/>
      <name val="宋体"/>
      <family val="3"/>
      <charset val="134"/>
      <scheme val="minor"/>
    </font>
    <font>
      <sz val="10.5"/>
      <color theme="1"/>
      <name val="Times New Roman"/>
      <family val="1"/>
    </font>
    <font>
      <sz val="9"/>
      <color rgb="FF333333"/>
      <name val="Arial"/>
      <family val="2"/>
    </font>
    <font>
      <sz val="11"/>
      <name val="宋体"/>
      <family val="3"/>
      <charset val="134"/>
      <scheme val="minor"/>
    </font>
    <font>
      <sz val="12"/>
      <color theme="1"/>
      <name val="宋体"/>
      <family val="2"/>
      <scheme val="minor"/>
    </font>
    <font>
      <sz val="12"/>
      <color theme="1"/>
      <name val="宋体"/>
      <family val="3"/>
      <charset val="134"/>
      <scheme val="minor"/>
    </font>
    <font>
      <sz val="11"/>
      <color theme="1"/>
      <name val="Calibri"/>
      <family val="2"/>
      <charset val="161"/>
    </font>
    <font>
      <sz val="11"/>
      <color theme="1"/>
      <name val="宋体"/>
      <family val="2"/>
      <charset val="161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2" borderId="0" xfId="0" applyFill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vertical="center"/>
    </xf>
    <xf numFmtId="0" fontId="5" fillId="0" borderId="0" xfId="0" applyFont="1" applyFill="1" applyBorder="1" applyAlignment="1">
      <alignment horizontal="right" wrapText="1"/>
    </xf>
    <xf numFmtId="0" fontId="4" fillId="0" borderId="0" xfId="0" applyFont="1" applyFill="1" applyBorder="1" applyAlignment="1">
      <alignment horizontal="center" vertical="center" wrapText="1"/>
    </xf>
    <xf numFmtId="2" fontId="0" fillId="0" borderId="0" xfId="0" applyNumberFormat="1" applyAlignment="1">
      <alignment vertical="center"/>
    </xf>
    <xf numFmtId="0" fontId="0" fillId="0" borderId="0" xfId="0" applyFill="1" applyAlignment="1">
      <alignment vertical="center"/>
    </xf>
    <xf numFmtId="0" fontId="5" fillId="0" borderId="3" xfId="0" applyFont="1" applyFill="1" applyBorder="1" applyAlignment="1">
      <alignment horizontal="right" wrapText="1"/>
    </xf>
    <xf numFmtId="0" fontId="5" fillId="0" borderId="3" xfId="0" applyFont="1" applyBorder="1" applyAlignment="1">
      <alignment horizontal="right" wrapText="1"/>
    </xf>
    <xf numFmtId="0" fontId="5" fillId="0" borderId="4" xfId="0" applyFont="1" applyFill="1" applyBorder="1" applyAlignment="1">
      <alignment horizontal="right" wrapText="1"/>
    </xf>
    <xf numFmtId="0" fontId="10" fillId="0" borderId="0" xfId="0" applyFont="1"/>
    <xf numFmtId="0" fontId="0" fillId="0" borderId="0" xfId="0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140970</xdr:colOff>
      <xdr:row>5</xdr:row>
      <xdr:rowOff>54570</xdr:rowOff>
    </xdr:from>
    <xdr:to>
      <xdr:col>9</xdr:col>
      <xdr:colOff>54300</xdr:colOff>
      <xdr:row>8</xdr:row>
      <xdr:rowOff>104602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F4AB4B4C-57EF-E16B-CA1E-01E24C9DB9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050" y="233640"/>
          <a:ext cx="5119135" cy="587242"/>
        </a:xfrm>
        <a:prstGeom prst="rect">
          <a:avLst/>
        </a:prstGeom>
      </xdr:spPr>
    </xdr:pic>
    <xdr:clientData/>
  </xdr:twoCellAnchor>
  <xdr:twoCellAnchor editAs="oneCell">
    <xdr:from>
      <xdr:col>11</xdr:col>
      <xdr:colOff>85389</xdr:colOff>
      <xdr:row>4</xdr:row>
      <xdr:rowOff>0</xdr:rowOff>
    </xdr:from>
    <xdr:to>
      <xdr:col>16</xdr:col>
      <xdr:colOff>145590</xdr:colOff>
      <xdr:row>28</xdr:row>
      <xdr:rowOff>66822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6B3E9E04-3C6D-47C2-CF16-48B3B128C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36130" y="0"/>
          <a:ext cx="3265083" cy="4369881"/>
        </a:xfrm>
        <a:prstGeom prst="rect">
          <a:avLst/>
        </a:prstGeom>
      </xdr:spPr>
    </xdr:pic>
    <xdr:clientData/>
  </xdr:twoCellAnchor>
  <xdr:twoCellAnchor editAs="oneCell">
    <xdr:from>
      <xdr:col>1</xdr:col>
      <xdr:colOff>22412</xdr:colOff>
      <xdr:row>34</xdr:row>
      <xdr:rowOff>56982</xdr:rowOff>
    </xdr:from>
    <xdr:to>
      <xdr:col>9</xdr:col>
      <xdr:colOff>478783</xdr:colOff>
      <xdr:row>77</xdr:row>
      <xdr:rowOff>101961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4C4D0157-249E-4B8A-8B46-3F89D79956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3388" y="5435806"/>
          <a:ext cx="5669348" cy="7754626"/>
        </a:xfrm>
        <a:prstGeom prst="rect">
          <a:avLst/>
        </a:prstGeom>
      </xdr:spPr>
    </xdr:pic>
    <xdr:clientData/>
  </xdr:twoCellAnchor>
  <xdr:twoCellAnchor editAs="oneCell">
    <xdr:from>
      <xdr:col>6</xdr:col>
      <xdr:colOff>484910</xdr:colOff>
      <xdr:row>64</xdr:row>
      <xdr:rowOff>76156</xdr:rowOff>
    </xdr:from>
    <xdr:to>
      <xdr:col>13</xdr:col>
      <xdr:colOff>154168</xdr:colOff>
      <xdr:row>96</xdr:row>
      <xdr:rowOff>25409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A1A32F22-B009-3652-9C52-001CE2D2E7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398819" y="10882701"/>
          <a:ext cx="4130422" cy="57681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17"/>
  <sheetViews>
    <sheetView tabSelected="1" topLeftCell="AC1" zoomScale="85" zoomScaleNormal="85" workbookViewId="0">
      <selection activeCell="AM25" sqref="AM25"/>
    </sheetView>
  </sheetViews>
  <sheetFormatPr defaultRowHeight="13.5" x14ac:dyDescent="0.15"/>
  <cols>
    <col min="3" max="9" width="9" style="1"/>
    <col min="26" max="26" width="11.5" customWidth="1"/>
    <col min="59" max="59" width="0" hidden="1" customWidth="1"/>
  </cols>
  <sheetData>
    <row r="1" spans="1:53" s="1" customFormat="1" x14ac:dyDescent="0.15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  <c r="V1" s="1">
        <v>22</v>
      </c>
      <c r="W1" s="1">
        <v>23</v>
      </c>
      <c r="X1" s="1">
        <v>24</v>
      </c>
      <c r="Y1" s="1">
        <v>25</v>
      </c>
      <c r="Z1" s="1">
        <v>26</v>
      </c>
      <c r="AA1" s="1">
        <v>27</v>
      </c>
      <c r="AB1" s="1">
        <v>28</v>
      </c>
      <c r="AC1" s="1">
        <v>29</v>
      </c>
      <c r="AD1" s="1">
        <v>30</v>
      </c>
      <c r="AE1" s="1">
        <v>31</v>
      </c>
      <c r="AF1" s="1">
        <v>32</v>
      </c>
      <c r="AG1" s="1">
        <v>33</v>
      </c>
      <c r="AH1" s="1">
        <v>34</v>
      </c>
      <c r="AI1" s="1">
        <v>35</v>
      </c>
      <c r="AJ1" s="1">
        <v>36</v>
      </c>
      <c r="AK1" s="1">
        <v>37</v>
      </c>
      <c r="AL1" s="1">
        <v>38</v>
      </c>
      <c r="AM1" s="1">
        <v>39</v>
      </c>
      <c r="AN1" s="1">
        <v>40</v>
      </c>
      <c r="AO1" s="1">
        <v>41</v>
      </c>
      <c r="AP1" s="1">
        <v>42</v>
      </c>
      <c r="AQ1" s="1">
        <v>43</v>
      </c>
      <c r="AR1" s="1">
        <v>44</v>
      </c>
      <c r="AS1" s="1">
        <v>45</v>
      </c>
      <c r="AT1" s="1">
        <v>46</v>
      </c>
      <c r="AU1" s="1">
        <v>47</v>
      </c>
      <c r="AV1" s="1">
        <v>48</v>
      </c>
      <c r="AW1" s="1">
        <v>49</v>
      </c>
      <c r="AX1" s="1">
        <v>50</v>
      </c>
      <c r="AY1" s="1">
        <v>51</v>
      </c>
      <c r="AZ1" s="1">
        <v>52</v>
      </c>
      <c r="BA1" s="1">
        <v>53</v>
      </c>
    </row>
    <row r="2" spans="1:53" s="2" customFormat="1" ht="81" x14ac:dyDescent="0.15">
      <c r="A2" s="2" t="s">
        <v>0</v>
      </c>
      <c r="B2" s="2" t="s">
        <v>78</v>
      </c>
      <c r="C2" s="2" t="s">
        <v>66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19" t="s">
        <v>1</v>
      </c>
      <c r="K2" s="20"/>
      <c r="L2" s="20"/>
      <c r="M2" s="18" t="s">
        <v>2</v>
      </c>
      <c r="N2" s="18"/>
      <c r="O2" s="18"/>
      <c r="P2" s="18" t="s">
        <v>65</v>
      </c>
      <c r="Q2" s="18"/>
      <c r="R2" s="18"/>
      <c r="S2" s="21" t="s">
        <v>75</v>
      </c>
      <c r="T2" s="21"/>
      <c r="U2" s="21"/>
      <c r="V2" s="2" t="s">
        <v>3</v>
      </c>
      <c r="W2" s="18" t="s">
        <v>4</v>
      </c>
      <c r="X2" s="18"/>
      <c r="Y2" s="18"/>
      <c r="Z2" s="3" t="s">
        <v>77</v>
      </c>
      <c r="AA2" s="2" t="s">
        <v>5</v>
      </c>
      <c r="AB2" s="18" t="s">
        <v>6</v>
      </c>
      <c r="AC2" s="18"/>
      <c r="AD2" s="18"/>
      <c r="AE2" s="21" t="s">
        <v>73</v>
      </c>
      <c r="AF2" s="21"/>
      <c r="AG2" s="21"/>
      <c r="AH2" s="18" t="s">
        <v>7</v>
      </c>
      <c r="AI2" s="18"/>
      <c r="AJ2" s="18"/>
      <c r="AK2" s="21" t="s">
        <v>76</v>
      </c>
      <c r="AL2" s="21"/>
      <c r="AM2" s="21"/>
      <c r="AN2" s="2" t="s">
        <v>8</v>
      </c>
      <c r="AO2" s="18" t="s">
        <v>9</v>
      </c>
      <c r="AP2" s="18"/>
      <c r="AQ2" s="18"/>
      <c r="AR2" s="18" t="s">
        <v>74</v>
      </c>
      <c r="AS2" s="18"/>
      <c r="AT2" s="18"/>
      <c r="AU2" s="2" t="s">
        <v>10</v>
      </c>
      <c r="AV2" s="2" t="s">
        <v>11</v>
      </c>
      <c r="AW2" s="2" t="s">
        <v>12</v>
      </c>
      <c r="AX2" s="18" t="s">
        <v>13</v>
      </c>
      <c r="AY2" s="18"/>
      <c r="AZ2" s="18"/>
      <c r="BA2" s="2" t="s">
        <v>14</v>
      </c>
    </row>
    <row r="3" spans="1:53" s="1" customFormat="1" ht="14.25" thickBot="1" x14ac:dyDescent="0.2">
      <c r="A3" s="1" t="s">
        <v>15</v>
      </c>
      <c r="B3" s="1" t="s">
        <v>16</v>
      </c>
      <c r="C3" s="1" t="s">
        <v>17</v>
      </c>
      <c r="D3" s="1" t="s">
        <v>18</v>
      </c>
      <c r="E3" s="4" t="s">
        <v>19</v>
      </c>
      <c r="F3" s="4" t="s">
        <v>20</v>
      </c>
      <c r="G3" s="4" t="s">
        <v>21</v>
      </c>
      <c r="H3" s="4" t="s">
        <v>22</v>
      </c>
      <c r="I3" s="4" t="s">
        <v>23</v>
      </c>
      <c r="J3" s="13" t="s">
        <v>24</v>
      </c>
      <c r="K3" s="13" t="s">
        <v>25</v>
      </c>
      <c r="L3" s="13" t="s">
        <v>26</v>
      </c>
      <c r="M3" s="1" t="s">
        <v>27</v>
      </c>
      <c r="N3" s="1" t="s">
        <v>28</v>
      </c>
      <c r="O3" s="1" t="s">
        <v>29</v>
      </c>
      <c r="P3" s="1" t="s">
        <v>30</v>
      </c>
      <c r="Q3" s="1" t="s">
        <v>31</v>
      </c>
      <c r="R3" s="1" t="s">
        <v>32</v>
      </c>
      <c r="S3" s="1" t="s">
        <v>33</v>
      </c>
      <c r="T3" s="1" t="s">
        <v>34</v>
      </c>
      <c r="U3" s="1" t="s">
        <v>35</v>
      </c>
      <c r="V3" s="9" t="s">
        <v>36</v>
      </c>
      <c r="W3" s="4" t="s">
        <v>37</v>
      </c>
      <c r="X3" s="4" t="s">
        <v>38</v>
      </c>
      <c r="Y3" s="4" t="s">
        <v>39</v>
      </c>
      <c r="Z3" s="1" t="s">
        <v>40</v>
      </c>
      <c r="AA3" s="8" t="s">
        <v>41</v>
      </c>
      <c r="AB3" s="13" t="s">
        <v>42</v>
      </c>
      <c r="AC3" s="13" t="s">
        <v>43</v>
      </c>
      <c r="AD3" s="13" t="s">
        <v>44</v>
      </c>
      <c r="AE3" s="13" t="s">
        <v>45</v>
      </c>
      <c r="AF3" s="13" t="s">
        <v>46</v>
      </c>
      <c r="AG3" s="13" t="s">
        <v>47</v>
      </c>
      <c r="AH3" s="13" t="s">
        <v>48</v>
      </c>
      <c r="AI3" s="13" t="s">
        <v>49</v>
      </c>
      <c r="AJ3" s="13" t="s">
        <v>50</v>
      </c>
      <c r="AK3" s="1" t="s">
        <v>51</v>
      </c>
      <c r="AL3" s="1" t="s">
        <v>52</v>
      </c>
      <c r="AM3" s="1" t="s">
        <v>53</v>
      </c>
      <c r="AN3" s="1" t="s">
        <v>54</v>
      </c>
      <c r="AO3" s="1" t="s">
        <v>22</v>
      </c>
      <c r="AP3" s="1" t="s">
        <v>22</v>
      </c>
      <c r="AQ3" s="1" t="s">
        <v>22</v>
      </c>
      <c r="AR3" s="1" t="s">
        <v>55</v>
      </c>
      <c r="AS3" s="1" t="s">
        <v>56</v>
      </c>
      <c r="AT3" s="1" t="s">
        <v>57</v>
      </c>
      <c r="AU3" s="1" t="s">
        <v>58</v>
      </c>
      <c r="AV3" s="1" t="s">
        <v>59</v>
      </c>
      <c r="AW3" s="9" t="s">
        <v>60</v>
      </c>
      <c r="AX3" s="13" t="s">
        <v>61</v>
      </c>
      <c r="AY3" s="13" t="s">
        <v>62</v>
      </c>
      <c r="AZ3" s="13" t="s">
        <v>63</v>
      </c>
      <c r="BA3" s="1" t="s">
        <v>64</v>
      </c>
    </row>
    <row r="4" spans="1:53" ht="14.25" x14ac:dyDescent="0.2">
      <c r="B4">
        <v>1</v>
      </c>
      <c r="I4" s="1">
        <v>2</v>
      </c>
      <c r="J4" s="5">
        <v>11.2</v>
      </c>
      <c r="K4" s="5">
        <v>11.2</v>
      </c>
      <c r="L4" s="5">
        <v>11.2</v>
      </c>
      <c r="M4" s="12">
        <v>9218.4</v>
      </c>
      <c r="N4" s="12">
        <v>9218.4</v>
      </c>
      <c r="O4" s="12">
        <v>9218.4</v>
      </c>
      <c r="P4">
        <v>-9999</v>
      </c>
      <c r="Q4">
        <v>-9999</v>
      </c>
      <c r="R4">
        <v>-9999</v>
      </c>
      <c r="S4">
        <v>9.1</v>
      </c>
      <c r="T4">
        <v>9.1</v>
      </c>
      <c r="U4">
        <v>9.1</v>
      </c>
      <c r="W4">
        <v>0.1</v>
      </c>
      <c r="Z4">
        <v>13</v>
      </c>
      <c r="AA4" s="8">
        <v>4</v>
      </c>
      <c r="AB4" s="5">
        <v>6.9</v>
      </c>
      <c r="AC4" s="5">
        <v>6.9</v>
      </c>
      <c r="AD4" s="5">
        <v>6.9</v>
      </c>
      <c r="AE4" s="10">
        <v>0.94830000000000003</v>
      </c>
      <c r="AF4" s="10">
        <v>0.94830000000000003</v>
      </c>
      <c r="AG4" s="10">
        <v>0.94830000000000003</v>
      </c>
      <c r="AH4" s="5">
        <v>1490</v>
      </c>
      <c r="AI4" s="5">
        <v>1490</v>
      </c>
      <c r="AJ4" s="5">
        <v>1490</v>
      </c>
      <c r="AK4" s="11">
        <v>2685</v>
      </c>
      <c r="AL4" s="11">
        <v>2685</v>
      </c>
      <c r="AM4" s="11">
        <v>2685</v>
      </c>
      <c r="AN4" s="8">
        <v>8</v>
      </c>
      <c r="AO4" s="14">
        <v>6.3700000000000007E-2</v>
      </c>
      <c r="AP4" s="14">
        <v>6.3699999999999993E-2</v>
      </c>
      <c r="AQ4" s="14">
        <v>6.3699999999999993E-2</v>
      </c>
      <c r="AR4" s="15">
        <v>3.3000000000000002E-2</v>
      </c>
      <c r="AS4" s="15">
        <v>3.3000000000000002E-2</v>
      </c>
      <c r="AT4" s="15">
        <v>3.3000000000000002E-2</v>
      </c>
      <c r="AU4" s="8">
        <v>1E-3</v>
      </c>
      <c r="AV4" s="8">
        <v>5.0000000000000001E-4</v>
      </c>
      <c r="AX4" s="5">
        <v>0.01</v>
      </c>
      <c r="AY4" s="5">
        <v>0.01</v>
      </c>
      <c r="AZ4" s="5">
        <v>0.01</v>
      </c>
      <c r="BA4" s="11">
        <v>0</v>
      </c>
    </row>
    <row r="5" spans="1:53" ht="14.25" x14ac:dyDescent="0.2">
      <c r="B5">
        <v>2</v>
      </c>
      <c r="I5" s="1">
        <v>2</v>
      </c>
      <c r="J5" s="6">
        <v>10.98</v>
      </c>
      <c r="K5" s="6">
        <v>10.98</v>
      </c>
      <c r="L5" s="6">
        <v>10.98</v>
      </c>
      <c r="M5" s="12">
        <v>2608.7999999999997</v>
      </c>
      <c r="N5" s="12">
        <v>2608.7999999999997</v>
      </c>
      <c r="O5" s="12">
        <v>2608.7999999999997</v>
      </c>
      <c r="P5">
        <v>-9999</v>
      </c>
      <c r="Q5">
        <v>-9999</v>
      </c>
      <c r="R5">
        <v>-9999</v>
      </c>
      <c r="S5">
        <v>12.5</v>
      </c>
      <c r="T5">
        <v>12.5</v>
      </c>
      <c r="U5">
        <v>12.5</v>
      </c>
      <c r="W5">
        <v>0.1</v>
      </c>
      <c r="Z5">
        <v>13</v>
      </c>
      <c r="AA5" s="8">
        <v>4</v>
      </c>
      <c r="AB5" s="6">
        <v>3.6</v>
      </c>
      <c r="AC5" s="6">
        <v>3.6</v>
      </c>
      <c r="AD5" s="6">
        <v>3.6</v>
      </c>
      <c r="AE5" s="10">
        <v>0.85230000000000006</v>
      </c>
      <c r="AF5" s="10">
        <v>0.85230000000000006</v>
      </c>
      <c r="AG5" s="10">
        <v>0.85230000000000006</v>
      </c>
      <c r="AH5" s="6">
        <v>1520</v>
      </c>
      <c r="AI5" s="6">
        <v>1520</v>
      </c>
      <c r="AJ5" s="6">
        <v>1520</v>
      </c>
      <c r="AK5" s="11">
        <v>2685</v>
      </c>
      <c r="AL5" s="11">
        <v>2685</v>
      </c>
      <c r="AM5" s="11">
        <v>2685</v>
      </c>
      <c r="AN5" s="8">
        <v>8</v>
      </c>
      <c r="AO5" s="14">
        <v>8.7499999999999994E-2</v>
      </c>
      <c r="AP5" s="14">
        <v>8.7499999999999994E-2</v>
      </c>
      <c r="AQ5" s="14">
        <v>8.7499999999999994E-2</v>
      </c>
      <c r="AR5" s="15">
        <v>5.5E-2</v>
      </c>
      <c r="AS5" s="15">
        <v>5.5E-2</v>
      </c>
      <c r="AT5" s="15">
        <v>5.5E-2</v>
      </c>
      <c r="AU5" s="8">
        <v>1E-3</v>
      </c>
      <c r="AV5" s="8">
        <v>5.0000000000000001E-4</v>
      </c>
      <c r="AX5" s="6">
        <v>0.02</v>
      </c>
      <c r="AY5" s="6">
        <v>0.02</v>
      </c>
      <c r="AZ5" s="6">
        <v>0.02</v>
      </c>
      <c r="BA5" s="11">
        <v>0</v>
      </c>
    </row>
    <row r="6" spans="1:53" ht="14.25" x14ac:dyDescent="0.2">
      <c r="B6">
        <v>3</v>
      </c>
      <c r="I6" s="1">
        <v>2</v>
      </c>
      <c r="J6" s="6">
        <v>12.68</v>
      </c>
      <c r="K6" s="6">
        <v>12.68</v>
      </c>
      <c r="L6" s="6">
        <v>12.68</v>
      </c>
      <c r="M6" s="12">
        <v>1257.6000000000001</v>
      </c>
      <c r="N6" s="12">
        <v>1257.6000000000001</v>
      </c>
      <c r="O6" s="12">
        <v>1257.6000000000001</v>
      </c>
      <c r="P6">
        <v>-9999</v>
      </c>
      <c r="Q6">
        <v>-9999</v>
      </c>
      <c r="R6">
        <v>-9999</v>
      </c>
      <c r="S6">
        <v>20.7</v>
      </c>
      <c r="T6">
        <v>20.7</v>
      </c>
      <c r="U6">
        <v>20.7</v>
      </c>
      <c r="W6">
        <v>0.1</v>
      </c>
      <c r="Z6">
        <v>13</v>
      </c>
      <c r="AA6" s="8">
        <v>4</v>
      </c>
      <c r="AB6" s="6">
        <v>14.1</v>
      </c>
      <c r="AC6" s="6">
        <v>14.1</v>
      </c>
      <c r="AD6" s="6">
        <v>14.1</v>
      </c>
      <c r="AE6" s="10">
        <v>0.69279999999999997</v>
      </c>
      <c r="AF6" s="10">
        <v>0.69279999999999997</v>
      </c>
      <c r="AG6" s="10">
        <v>0.69279999999999997</v>
      </c>
      <c r="AH6" s="6">
        <v>1570</v>
      </c>
      <c r="AI6" s="6">
        <v>1570</v>
      </c>
      <c r="AJ6" s="6">
        <v>1570</v>
      </c>
      <c r="AK6" s="11">
        <v>2685</v>
      </c>
      <c r="AL6" s="11">
        <v>2685</v>
      </c>
      <c r="AM6" s="11">
        <v>2685</v>
      </c>
      <c r="AN6" s="8">
        <v>8</v>
      </c>
      <c r="AO6" s="14">
        <v>0.14489999999999997</v>
      </c>
      <c r="AP6" s="14">
        <v>0.14489999999999997</v>
      </c>
      <c r="AQ6" s="14">
        <v>0.14489999999999997</v>
      </c>
      <c r="AR6" s="15">
        <v>9.5000000000000001E-2</v>
      </c>
      <c r="AS6" s="15">
        <v>9.5000000000000001E-2</v>
      </c>
      <c r="AT6" s="15">
        <v>9.5000000000000001E-2</v>
      </c>
      <c r="AU6" s="8">
        <v>1E-3</v>
      </c>
      <c r="AV6" s="8">
        <v>5.0000000000000001E-4</v>
      </c>
      <c r="AX6" s="6">
        <v>3.7999999999999999E-2</v>
      </c>
      <c r="AY6" s="6">
        <v>3.7999999999999999E-2</v>
      </c>
      <c r="AZ6" s="6">
        <v>3.7999999999999999E-2</v>
      </c>
      <c r="BA6" s="11">
        <v>0</v>
      </c>
    </row>
    <row r="7" spans="1:53" ht="14.25" x14ac:dyDescent="0.2">
      <c r="B7">
        <v>4</v>
      </c>
      <c r="I7" s="1">
        <v>2</v>
      </c>
      <c r="J7" s="6">
        <v>10.58</v>
      </c>
      <c r="K7" s="6">
        <v>10.58</v>
      </c>
      <c r="L7" s="6">
        <v>10.58</v>
      </c>
      <c r="M7" s="12">
        <v>950.4</v>
      </c>
      <c r="N7" s="12">
        <v>950.4</v>
      </c>
      <c r="O7" s="12">
        <v>950.4</v>
      </c>
      <c r="P7">
        <v>-9999</v>
      </c>
      <c r="Q7">
        <v>-9999</v>
      </c>
      <c r="R7">
        <v>-9999</v>
      </c>
      <c r="S7">
        <v>33</v>
      </c>
      <c r="T7">
        <v>33</v>
      </c>
      <c r="U7">
        <v>33</v>
      </c>
      <c r="W7">
        <v>0.1</v>
      </c>
      <c r="Z7">
        <v>13</v>
      </c>
      <c r="AA7" s="8">
        <v>4</v>
      </c>
      <c r="AB7" s="6">
        <v>75.900000000000006</v>
      </c>
      <c r="AC7" s="6">
        <v>75.900000000000006</v>
      </c>
      <c r="AD7" s="6">
        <v>75.900000000000006</v>
      </c>
      <c r="AE7" s="10">
        <v>0.19280000000000003</v>
      </c>
      <c r="AF7" s="10">
        <v>0.19280000000000003</v>
      </c>
      <c r="AG7" s="10">
        <v>0.19280000000000003</v>
      </c>
      <c r="AH7" s="6">
        <v>1420</v>
      </c>
      <c r="AI7" s="6">
        <v>1420</v>
      </c>
      <c r="AJ7" s="6">
        <v>1420</v>
      </c>
      <c r="AK7" s="11">
        <v>2685</v>
      </c>
      <c r="AL7" s="11">
        <v>2685</v>
      </c>
      <c r="AM7" s="11">
        <v>2685</v>
      </c>
      <c r="AN7" s="8">
        <v>8</v>
      </c>
      <c r="AO7" s="14">
        <v>0.23099999999999998</v>
      </c>
      <c r="AP7" s="14">
        <v>0.23099999999999998</v>
      </c>
      <c r="AQ7" s="14">
        <v>0.23099999999999998</v>
      </c>
      <c r="AR7" s="15">
        <v>0.13300000000000001</v>
      </c>
      <c r="AS7" s="15">
        <v>0.13300000000000001</v>
      </c>
      <c r="AT7" s="15">
        <v>0.13300000000000001</v>
      </c>
      <c r="AU7" s="8">
        <v>1E-3</v>
      </c>
      <c r="AV7" s="8">
        <v>5.0000000000000001E-4</v>
      </c>
      <c r="AX7" s="6">
        <v>1.4999999999999999E-2</v>
      </c>
      <c r="AY7" s="6">
        <v>1.4999999999999999E-2</v>
      </c>
      <c r="AZ7" s="6">
        <v>1.4999999999999999E-2</v>
      </c>
      <c r="BA7" s="11">
        <v>0</v>
      </c>
    </row>
    <row r="8" spans="1:53" ht="14.25" x14ac:dyDescent="0.2">
      <c r="B8">
        <v>5</v>
      </c>
      <c r="I8" s="1">
        <v>2</v>
      </c>
      <c r="J8" s="6">
        <v>9.1</v>
      </c>
      <c r="K8" s="6">
        <v>9.1</v>
      </c>
      <c r="L8" s="6">
        <v>9.1</v>
      </c>
      <c r="M8" s="12">
        <v>2061.6</v>
      </c>
      <c r="N8" s="12">
        <v>2061.6</v>
      </c>
      <c r="O8" s="12">
        <v>2061.6</v>
      </c>
      <c r="P8">
        <v>-9999</v>
      </c>
      <c r="Q8">
        <v>-9999</v>
      </c>
      <c r="R8">
        <v>-9999</v>
      </c>
      <c r="S8">
        <v>28.000000000000004</v>
      </c>
      <c r="T8">
        <v>28.000000000000004</v>
      </c>
      <c r="U8">
        <v>28.000000000000004</v>
      </c>
      <c r="W8">
        <v>0.1</v>
      </c>
      <c r="Z8">
        <v>13</v>
      </c>
      <c r="AA8" s="8">
        <v>4</v>
      </c>
      <c r="AB8" s="6">
        <v>75.900000000000006</v>
      </c>
      <c r="AC8" s="6">
        <v>75.900000000000006</v>
      </c>
      <c r="AD8" s="6">
        <v>75.900000000000006</v>
      </c>
      <c r="AE8" s="10">
        <v>4.4999999999999998E-2</v>
      </c>
      <c r="AF8" s="10">
        <v>4.4999999999999998E-2</v>
      </c>
      <c r="AG8" s="10">
        <v>4.4999999999999998E-2</v>
      </c>
      <c r="AH8" s="6">
        <v>1280</v>
      </c>
      <c r="AI8" s="6">
        <v>1280</v>
      </c>
      <c r="AJ8" s="6">
        <v>1280</v>
      </c>
      <c r="AK8" s="11">
        <v>2685</v>
      </c>
      <c r="AL8" s="11">
        <v>2685</v>
      </c>
      <c r="AM8" s="11">
        <v>2685</v>
      </c>
      <c r="AN8" s="8">
        <v>8</v>
      </c>
      <c r="AO8" s="14">
        <v>0.19600000000000001</v>
      </c>
      <c r="AP8" s="14">
        <v>0.19600000000000001</v>
      </c>
      <c r="AQ8" s="14">
        <v>0.19600000000000001</v>
      </c>
      <c r="AR8" s="15">
        <v>0.08</v>
      </c>
      <c r="AS8" s="15">
        <v>0.08</v>
      </c>
      <c r="AT8" s="15">
        <v>0.08</v>
      </c>
      <c r="AU8" s="8">
        <v>1E-3</v>
      </c>
      <c r="AV8" s="8">
        <v>5.0000000000000001E-4</v>
      </c>
      <c r="AX8" s="6">
        <v>1.4999999999999999E-2</v>
      </c>
      <c r="AY8" s="6">
        <v>1.4999999999999999E-2</v>
      </c>
      <c r="AZ8" s="6">
        <v>1.4999999999999999E-2</v>
      </c>
      <c r="BA8" s="11">
        <v>0</v>
      </c>
    </row>
    <row r="9" spans="1:53" ht="14.25" x14ac:dyDescent="0.2">
      <c r="B9">
        <v>6</v>
      </c>
      <c r="I9" s="1">
        <v>2</v>
      </c>
      <c r="J9" s="6">
        <v>13.6</v>
      </c>
      <c r="K9" s="6">
        <v>13.6</v>
      </c>
      <c r="L9" s="6">
        <v>13.6</v>
      </c>
      <c r="M9" s="12">
        <v>472.8</v>
      </c>
      <c r="N9" s="12">
        <v>472.8</v>
      </c>
      <c r="O9" s="12">
        <v>472.8</v>
      </c>
      <c r="P9">
        <v>-9999</v>
      </c>
      <c r="Q9">
        <v>-9999</v>
      </c>
      <c r="R9">
        <v>-9999</v>
      </c>
      <c r="S9">
        <v>27</v>
      </c>
      <c r="T9">
        <v>27</v>
      </c>
      <c r="U9">
        <v>27</v>
      </c>
      <c r="W9">
        <v>0.1</v>
      </c>
      <c r="Z9">
        <v>13</v>
      </c>
      <c r="AA9" s="8">
        <v>4</v>
      </c>
      <c r="AB9" s="6">
        <v>35.5</v>
      </c>
      <c r="AC9" s="6">
        <v>35.5</v>
      </c>
      <c r="AD9" s="6">
        <v>35.5</v>
      </c>
      <c r="AE9" s="10">
        <v>0.41000000000000003</v>
      </c>
      <c r="AF9" s="10">
        <v>0.41000000000000003</v>
      </c>
      <c r="AG9" s="10">
        <v>0.41000000000000003</v>
      </c>
      <c r="AH9" s="6">
        <v>1490</v>
      </c>
      <c r="AI9" s="6">
        <v>1490</v>
      </c>
      <c r="AJ9" s="6">
        <v>1490</v>
      </c>
      <c r="AK9" s="11">
        <v>2685</v>
      </c>
      <c r="AL9" s="11">
        <v>2685</v>
      </c>
      <c r="AM9" s="11">
        <v>2685</v>
      </c>
      <c r="AN9" s="8">
        <v>8</v>
      </c>
      <c r="AO9" s="14">
        <v>0.189</v>
      </c>
      <c r="AP9" s="14">
        <v>0.189</v>
      </c>
      <c r="AQ9" s="14">
        <v>0.189</v>
      </c>
      <c r="AR9" s="15">
        <v>0.11700000000000001</v>
      </c>
      <c r="AS9" s="15">
        <v>0.11700000000000001</v>
      </c>
      <c r="AT9" s="15">
        <v>0.11700000000000001</v>
      </c>
      <c r="AU9" s="8">
        <v>1E-3</v>
      </c>
      <c r="AV9" s="8">
        <v>5.0000000000000001E-4</v>
      </c>
      <c r="AX9" s="6">
        <v>2.7E-2</v>
      </c>
      <c r="AY9" s="6">
        <v>2.7E-2</v>
      </c>
      <c r="AZ9" s="6">
        <v>2.7E-2</v>
      </c>
      <c r="BA9" s="11">
        <v>0</v>
      </c>
    </row>
    <row r="10" spans="1:53" ht="14.25" x14ac:dyDescent="0.2">
      <c r="B10">
        <v>7</v>
      </c>
      <c r="I10" s="1">
        <v>2</v>
      </c>
      <c r="J10" s="6">
        <v>20.32</v>
      </c>
      <c r="K10" s="6">
        <v>20.32</v>
      </c>
      <c r="L10" s="6">
        <v>20.32</v>
      </c>
      <c r="M10" s="12">
        <v>576</v>
      </c>
      <c r="N10" s="12">
        <v>576</v>
      </c>
      <c r="O10" s="12">
        <v>576</v>
      </c>
      <c r="P10">
        <v>-9999</v>
      </c>
      <c r="Q10">
        <v>-9999</v>
      </c>
      <c r="R10">
        <v>-9999</v>
      </c>
      <c r="S10">
        <v>25.5</v>
      </c>
      <c r="T10">
        <v>25.5</v>
      </c>
      <c r="U10">
        <v>25.5</v>
      </c>
      <c r="W10">
        <v>0.1</v>
      </c>
      <c r="Z10">
        <v>13</v>
      </c>
      <c r="AA10" s="8">
        <v>4</v>
      </c>
      <c r="AB10" s="6">
        <v>13.5</v>
      </c>
      <c r="AC10" s="6">
        <v>13.5</v>
      </c>
      <c r="AD10" s="6">
        <v>13.5</v>
      </c>
      <c r="AE10" s="10">
        <v>0.60970000000000002</v>
      </c>
      <c r="AF10" s="10">
        <v>0.60970000000000002</v>
      </c>
      <c r="AG10" s="10">
        <v>0.60970000000000002</v>
      </c>
      <c r="AH10" s="6">
        <v>1600</v>
      </c>
      <c r="AI10" s="6">
        <v>1600</v>
      </c>
      <c r="AJ10" s="6">
        <v>1600</v>
      </c>
      <c r="AK10" s="11">
        <v>2685</v>
      </c>
      <c r="AL10" s="11">
        <v>2685</v>
      </c>
      <c r="AM10" s="11">
        <v>2685</v>
      </c>
      <c r="AN10" s="8">
        <v>8</v>
      </c>
      <c r="AO10" s="14">
        <v>0.17849999999999999</v>
      </c>
      <c r="AP10" s="14">
        <v>0.17849999999999999</v>
      </c>
      <c r="AQ10" s="14">
        <v>0.17849999999999999</v>
      </c>
      <c r="AR10" s="15">
        <v>0.14799999999999999</v>
      </c>
      <c r="AS10" s="15">
        <v>0.14799999999999999</v>
      </c>
      <c r="AT10" s="15">
        <v>0.14799999999999999</v>
      </c>
      <c r="AU10" s="8">
        <v>1E-3</v>
      </c>
      <c r="AV10" s="8">
        <v>5.0000000000000001E-4</v>
      </c>
      <c r="AX10" s="6">
        <v>5.0999999999999997E-2</v>
      </c>
      <c r="AY10" s="6">
        <v>5.0999999999999997E-2</v>
      </c>
      <c r="AZ10" s="6">
        <v>5.0999999999999997E-2</v>
      </c>
      <c r="BA10" s="11">
        <v>0</v>
      </c>
    </row>
    <row r="11" spans="1:53" ht="14.25" x14ac:dyDescent="0.2">
      <c r="B11">
        <v>8</v>
      </c>
      <c r="I11" s="1">
        <v>2</v>
      </c>
      <c r="J11" s="6">
        <v>17.96</v>
      </c>
      <c r="K11" s="6">
        <v>17.96</v>
      </c>
      <c r="L11" s="6">
        <v>17.96</v>
      </c>
      <c r="M11" s="12">
        <v>1096.8000000000002</v>
      </c>
      <c r="N11" s="12">
        <v>1096.8000000000002</v>
      </c>
      <c r="O11" s="12">
        <v>1096.8000000000002</v>
      </c>
      <c r="P11">
        <v>-9999</v>
      </c>
      <c r="Q11">
        <v>-9999</v>
      </c>
      <c r="R11">
        <v>-9999</v>
      </c>
      <c r="S11">
        <v>36.6</v>
      </c>
      <c r="T11">
        <v>36.6</v>
      </c>
      <c r="U11">
        <v>36.6</v>
      </c>
      <c r="W11">
        <v>0.1</v>
      </c>
      <c r="Z11">
        <v>13</v>
      </c>
      <c r="AA11" s="8">
        <v>4</v>
      </c>
      <c r="AB11" s="6">
        <v>61.7</v>
      </c>
      <c r="AC11" s="6">
        <v>61.7</v>
      </c>
      <c r="AD11" s="6">
        <v>61.7</v>
      </c>
      <c r="AE11" s="10">
        <v>9.0399999999999994E-2</v>
      </c>
      <c r="AF11" s="10">
        <v>9.0399999999999994E-2</v>
      </c>
      <c r="AG11" s="10">
        <v>9.0399999999999994E-2</v>
      </c>
      <c r="AH11" s="6">
        <v>1380</v>
      </c>
      <c r="AI11" s="6">
        <v>1380</v>
      </c>
      <c r="AJ11" s="6">
        <v>1380</v>
      </c>
      <c r="AK11" s="11">
        <v>2685</v>
      </c>
      <c r="AL11" s="11">
        <v>2685</v>
      </c>
      <c r="AM11" s="11">
        <v>2685</v>
      </c>
      <c r="AN11" s="8">
        <v>8</v>
      </c>
      <c r="AO11" s="14">
        <v>0.22259999999999999</v>
      </c>
      <c r="AP11" s="14">
        <v>0.22259999999999999</v>
      </c>
      <c r="AQ11" s="14">
        <v>0.22259999999999999</v>
      </c>
      <c r="AR11" s="15">
        <v>0.20799999999999999</v>
      </c>
      <c r="AS11" s="15">
        <v>0.20799999999999999</v>
      </c>
      <c r="AT11" s="15">
        <v>0.20799999999999999</v>
      </c>
      <c r="AU11" s="8">
        <v>1E-3</v>
      </c>
      <c r="AV11" s="8">
        <v>5.0000000000000001E-4</v>
      </c>
      <c r="AX11" s="6">
        <v>0.04</v>
      </c>
      <c r="AY11" s="6">
        <v>0.04</v>
      </c>
      <c r="AZ11" s="6">
        <v>0.04</v>
      </c>
      <c r="BA11" s="11">
        <v>0</v>
      </c>
    </row>
    <row r="12" spans="1:53" ht="14.25" x14ac:dyDescent="0.2">
      <c r="B12">
        <v>9</v>
      </c>
      <c r="I12" s="1">
        <v>2</v>
      </c>
      <c r="J12" s="6">
        <v>19.04</v>
      </c>
      <c r="K12" s="6">
        <v>19.04</v>
      </c>
      <c r="L12" s="6">
        <v>19.04</v>
      </c>
      <c r="M12" s="12">
        <v>424.8</v>
      </c>
      <c r="N12" s="12">
        <v>424.8</v>
      </c>
      <c r="O12" s="12">
        <v>424.8</v>
      </c>
      <c r="P12">
        <v>-9999</v>
      </c>
      <c r="Q12">
        <v>-9999</v>
      </c>
      <c r="R12">
        <v>-9999</v>
      </c>
      <c r="S12">
        <v>31.8</v>
      </c>
      <c r="T12">
        <v>31.8</v>
      </c>
      <c r="U12">
        <v>31.8</v>
      </c>
      <c r="W12">
        <v>0.1</v>
      </c>
      <c r="Z12">
        <v>13</v>
      </c>
      <c r="AA12" s="8">
        <v>4</v>
      </c>
      <c r="AB12" s="6">
        <v>26.3</v>
      </c>
      <c r="AC12" s="6">
        <v>26.3</v>
      </c>
      <c r="AD12" s="6">
        <v>26.3</v>
      </c>
      <c r="AE12" s="10">
        <v>0.30080000000000001</v>
      </c>
      <c r="AF12" s="10">
        <v>0.30080000000000001</v>
      </c>
      <c r="AG12" s="10">
        <v>0.30080000000000001</v>
      </c>
      <c r="AH12" s="6">
        <v>1430</v>
      </c>
      <c r="AI12" s="6">
        <v>1430</v>
      </c>
      <c r="AJ12" s="6">
        <v>1430</v>
      </c>
      <c r="AK12" s="11">
        <v>2685</v>
      </c>
      <c r="AL12" s="11">
        <v>2685</v>
      </c>
      <c r="AM12" s="11">
        <v>2685</v>
      </c>
      <c r="AN12" s="8">
        <v>8</v>
      </c>
      <c r="AO12" s="14">
        <v>0.25619999999999998</v>
      </c>
      <c r="AP12" s="14">
        <v>0.25619999999999998</v>
      </c>
      <c r="AQ12" s="14">
        <v>0.25619999999999998</v>
      </c>
      <c r="AR12" s="15">
        <v>0.19700000000000001</v>
      </c>
      <c r="AS12" s="15">
        <v>0.19700000000000001</v>
      </c>
      <c r="AT12" s="15">
        <v>0.19700000000000001</v>
      </c>
      <c r="AU12" s="8">
        <v>1E-3</v>
      </c>
      <c r="AV12" s="8">
        <v>5.0000000000000001E-4</v>
      </c>
      <c r="AX12" s="6">
        <v>7.4999999999999997E-2</v>
      </c>
      <c r="AY12" s="6">
        <v>7.4999999999999997E-2</v>
      </c>
      <c r="AZ12" s="6">
        <v>7.4999999999999997E-2</v>
      </c>
      <c r="BA12" s="11">
        <v>0</v>
      </c>
    </row>
    <row r="13" spans="1:53" ht="14.25" x14ac:dyDescent="0.2">
      <c r="B13">
        <v>10</v>
      </c>
      <c r="I13" s="1">
        <v>2</v>
      </c>
      <c r="J13" s="6">
        <v>29</v>
      </c>
      <c r="K13" s="6">
        <v>29</v>
      </c>
      <c r="L13" s="6">
        <v>29</v>
      </c>
      <c r="M13" s="12">
        <v>285.59999999999997</v>
      </c>
      <c r="N13" s="12">
        <v>285.59999999999997</v>
      </c>
      <c r="O13" s="12">
        <v>285.59999999999997</v>
      </c>
      <c r="P13">
        <v>-9999</v>
      </c>
      <c r="Q13">
        <v>-9999</v>
      </c>
      <c r="R13">
        <v>-9999</v>
      </c>
      <c r="S13">
        <v>33.900000000000006</v>
      </c>
      <c r="T13">
        <v>33.900000000000006</v>
      </c>
      <c r="U13">
        <v>33.900000000000006</v>
      </c>
      <c r="W13">
        <v>0.1</v>
      </c>
      <c r="Z13">
        <v>13</v>
      </c>
      <c r="AA13" s="8">
        <v>4</v>
      </c>
      <c r="AB13" s="6">
        <v>9.8000000000000007</v>
      </c>
      <c r="AC13" s="6">
        <v>9.8000000000000007</v>
      </c>
      <c r="AD13" s="6">
        <v>9.8000000000000007</v>
      </c>
      <c r="AE13" s="10">
        <v>0.50319999999999998</v>
      </c>
      <c r="AF13" s="10">
        <v>0.50319999999999998</v>
      </c>
      <c r="AG13" s="10">
        <v>0.50319999999999998</v>
      </c>
      <c r="AH13" s="6">
        <v>1570</v>
      </c>
      <c r="AI13" s="6">
        <v>1570</v>
      </c>
      <c r="AJ13" s="6">
        <v>1570</v>
      </c>
      <c r="AK13" s="11">
        <v>2685</v>
      </c>
      <c r="AL13" s="11">
        <v>2685</v>
      </c>
      <c r="AM13" s="11">
        <v>2685</v>
      </c>
      <c r="AN13" s="8">
        <v>8</v>
      </c>
      <c r="AO13" s="14">
        <v>0.23730000000000001</v>
      </c>
      <c r="AP13" s="14">
        <v>0.23730000000000001</v>
      </c>
      <c r="AQ13" s="14">
        <v>0.23730000000000001</v>
      </c>
      <c r="AR13" s="14">
        <v>0.23899999999999999</v>
      </c>
      <c r="AS13" s="14">
        <v>0.23899999999999999</v>
      </c>
      <c r="AT13" s="14">
        <v>0.23899999999999999</v>
      </c>
      <c r="AU13" s="8">
        <v>1E-3</v>
      </c>
      <c r="AV13" s="8">
        <v>5.0000000000000001E-4</v>
      </c>
      <c r="AX13" s="6">
        <v>5.6000000000000001E-2</v>
      </c>
      <c r="AY13" s="6">
        <v>5.6000000000000001E-2</v>
      </c>
      <c r="AZ13" s="6">
        <v>5.6000000000000001E-2</v>
      </c>
      <c r="BA13" s="11">
        <v>0</v>
      </c>
    </row>
    <row r="14" spans="1:53" ht="14.25" x14ac:dyDescent="0.2">
      <c r="B14">
        <v>11</v>
      </c>
      <c r="I14" s="1">
        <v>2</v>
      </c>
      <c r="J14" s="6">
        <v>22.52</v>
      </c>
      <c r="K14" s="6">
        <v>22.52</v>
      </c>
      <c r="L14" s="6">
        <v>22.52</v>
      </c>
      <c r="M14" s="12">
        <v>708</v>
      </c>
      <c r="N14" s="12">
        <v>708</v>
      </c>
      <c r="O14" s="12">
        <v>708</v>
      </c>
      <c r="P14">
        <v>-9999</v>
      </c>
      <c r="Q14">
        <v>-9999</v>
      </c>
      <c r="R14">
        <v>-9999</v>
      </c>
      <c r="S14">
        <v>38.700000000000003</v>
      </c>
      <c r="T14">
        <v>38.700000000000003</v>
      </c>
      <c r="U14">
        <v>38.700000000000003</v>
      </c>
      <c r="W14">
        <v>0.1</v>
      </c>
      <c r="Z14">
        <v>13</v>
      </c>
      <c r="AA14" s="8">
        <v>4</v>
      </c>
      <c r="AB14" s="6">
        <v>32.4</v>
      </c>
      <c r="AC14" s="6">
        <v>32.4</v>
      </c>
      <c r="AD14" s="6">
        <v>32.4</v>
      </c>
      <c r="AE14" s="10">
        <v>8.1799999999999998E-2</v>
      </c>
      <c r="AF14" s="10">
        <v>8.1799999999999998E-2</v>
      </c>
      <c r="AG14" s="10">
        <v>8.1799999999999998E-2</v>
      </c>
      <c r="AH14" s="6">
        <v>1350</v>
      </c>
      <c r="AI14" s="6">
        <v>1350</v>
      </c>
      <c r="AJ14" s="6">
        <v>1350</v>
      </c>
      <c r="AK14" s="11">
        <v>2685</v>
      </c>
      <c r="AL14" s="11">
        <v>2685</v>
      </c>
      <c r="AM14" s="11">
        <v>2685</v>
      </c>
      <c r="AN14" s="8">
        <v>8</v>
      </c>
      <c r="AO14" s="14">
        <v>0.27089999999999997</v>
      </c>
      <c r="AP14" s="14">
        <v>0.27089999999999997</v>
      </c>
      <c r="AQ14" s="14">
        <v>0.27089999999999997</v>
      </c>
      <c r="AR14" s="14">
        <v>0.25</v>
      </c>
      <c r="AS14" s="14">
        <v>0.25</v>
      </c>
      <c r="AT14" s="14">
        <v>0.25</v>
      </c>
      <c r="AU14" s="8">
        <v>1E-3</v>
      </c>
      <c r="AV14" s="8">
        <v>5.0000000000000001E-4</v>
      </c>
      <c r="AX14" s="6">
        <v>0.109</v>
      </c>
      <c r="AY14" s="6">
        <v>0.109</v>
      </c>
      <c r="AZ14" s="6">
        <v>0.109</v>
      </c>
      <c r="BA14" s="11">
        <v>0</v>
      </c>
    </row>
    <row r="15" spans="1:53" ht="15" thickBot="1" x14ac:dyDescent="0.25">
      <c r="B15">
        <v>12</v>
      </c>
      <c r="I15" s="1">
        <v>2</v>
      </c>
      <c r="J15" s="7">
        <v>27.56</v>
      </c>
      <c r="K15" s="7">
        <v>27.56</v>
      </c>
      <c r="L15" s="7">
        <v>27.56</v>
      </c>
      <c r="M15" s="12">
        <v>763.2</v>
      </c>
      <c r="N15" s="12">
        <v>763.2</v>
      </c>
      <c r="O15" s="12">
        <v>763.2</v>
      </c>
      <c r="P15">
        <v>-9999</v>
      </c>
      <c r="Q15">
        <v>-9999</v>
      </c>
      <c r="R15">
        <v>-9999</v>
      </c>
      <c r="S15">
        <v>39.6</v>
      </c>
      <c r="T15">
        <v>39.6</v>
      </c>
      <c r="U15">
        <v>39.6</v>
      </c>
      <c r="W15">
        <v>0.1</v>
      </c>
      <c r="Z15">
        <v>13</v>
      </c>
      <c r="AA15" s="8">
        <v>4</v>
      </c>
      <c r="AB15" s="7">
        <v>46.8</v>
      </c>
      <c r="AC15" s="7">
        <v>46.8</v>
      </c>
      <c r="AD15" s="7">
        <v>46.8</v>
      </c>
      <c r="AE15" s="10">
        <v>0.24710000000000001</v>
      </c>
      <c r="AF15" s="10">
        <v>0.24710000000000001</v>
      </c>
      <c r="AG15" s="10">
        <v>0.24710000000000001</v>
      </c>
      <c r="AH15" s="7">
        <v>1390</v>
      </c>
      <c r="AI15" s="7">
        <v>1390</v>
      </c>
      <c r="AJ15" s="7">
        <v>1390</v>
      </c>
      <c r="AK15" s="11">
        <v>2685</v>
      </c>
      <c r="AL15" s="11">
        <v>2685</v>
      </c>
      <c r="AM15" s="11">
        <v>2685</v>
      </c>
      <c r="AN15" s="8">
        <v>8</v>
      </c>
      <c r="AO15" s="14">
        <v>0.2772</v>
      </c>
      <c r="AP15" s="14">
        <v>0.2772</v>
      </c>
      <c r="AQ15" s="14">
        <v>0.2772</v>
      </c>
      <c r="AR15" s="14">
        <v>0.27200000000000002</v>
      </c>
      <c r="AS15" s="14">
        <v>0.27200000000000002</v>
      </c>
      <c r="AT15" s="14">
        <v>0.27200000000000002</v>
      </c>
      <c r="AU15" s="8">
        <v>1E-3</v>
      </c>
      <c r="AV15" s="8">
        <v>5.0000000000000001E-4</v>
      </c>
      <c r="AX15" s="7">
        <v>0.09</v>
      </c>
      <c r="AY15" s="7">
        <v>0.09</v>
      </c>
      <c r="AZ15" s="7">
        <v>0.09</v>
      </c>
      <c r="BA15" s="11">
        <v>0</v>
      </c>
    </row>
    <row r="16" spans="1:53" ht="14.25" x14ac:dyDescent="0.2">
      <c r="J16" s="11"/>
      <c r="K16" s="11"/>
      <c r="L16" s="11"/>
      <c r="M16" s="12"/>
      <c r="N16" s="12"/>
      <c r="O16" s="12"/>
      <c r="AA16" s="8"/>
      <c r="AB16" s="11"/>
      <c r="AC16" s="11"/>
      <c r="AD16" s="11"/>
      <c r="AE16" s="10"/>
      <c r="AF16" s="10"/>
      <c r="AG16" s="10"/>
      <c r="AH16" s="11"/>
      <c r="AI16" s="11"/>
      <c r="AJ16" s="11"/>
      <c r="AK16" s="11"/>
      <c r="AL16" s="11"/>
      <c r="AM16" s="11"/>
      <c r="AN16" s="8"/>
      <c r="AO16" s="16"/>
      <c r="AP16" s="16"/>
      <c r="AQ16" s="16"/>
      <c r="AR16" s="16"/>
      <c r="AS16" s="16"/>
      <c r="AT16" s="16"/>
      <c r="AU16" s="8"/>
      <c r="AV16" s="8"/>
      <c r="AX16" s="11"/>
      <c r="AY16" s="11"/>
      <c r="AZ16" s="11"/>
      <c r="BA16" s="11"/>
    </row>
    <row r="17" spans="31:31" ht="14.25" x14ac:dyDescent="0.2">
      <c r="AE17" s="10"/>
    </row>
  </sheetData>
  <mergeCells count="12">
    <mergeCell ref="AX2:AZ2"/>
    <mergeCell ref="J2:L2"/>
    <mergeCell ref="M2:O2"/>
    <mergeCell ref="P2:R2"/>
    <mergeCell ref="S2:U2"/>
    <mergeCell ref="W2:Y2"/>
    <mergeCell ref="AB2:AD2"/>
    <mergeCell ref="AE2:AG2"/>
    <mergeCell ref="AH2:AJ2"/>
    <mergeCell ref="AK2:AM2"/>
    <mergeCell ref="AO2:AQ2"/>
    <mergeCell ref="AR2:AT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4"/>
  <sheetViews>
    <sheetView zoomScale="85" zoomScaleNormal="85" workbookViewId="0">
      <selection activeCell="E18" sqref="E18"/>
    </sheetView>
  </sheetViews>
  <sheetFormatPr defaultRowHeight="13.5" x14ac:dyDescent="0.15"/>
  <cols>
    <col min="2" max="2" width="10" bestFit="1" customWidth="1"/>
  </cols>
  <sheetData>
    <row r="1" spans="1:1" x14ac:dyDescent="0.15">
      <c r="A1" t="s">
        <v>86</v>
      </c>
    </row>
    <row r="5" spans="1:1" x14ac:dyDescent="0.15">
      <c r="A5" t="s">
        <v>79</v>
      </c>
    </row>
    <row r="6" spans="1:1" x14ac:dyDescent="0.15">
      <c r="A6">
        <f>0.031+(0.14*0.031-0.02)</f>
        <v>1.5339999999999999E-2</v>
      </c>
    </row>
    <row r="43" spans="11:11" x14ac:dyDescent="0.15">
      <c r="K43" t="s">
        <v>80</v>
      </c>
    </row>
    <row r="81" spans="2:4" ht="15" x14ac:dyDescent="0.25">
      <c r="B81" s="17" t="s">
        <v>82</v>
      </c>
      <c r="C81" t="s">
        <v>81</v>
      </c>
      <c r="D81">
        <v>7.8E-2</v>
      </c>
    </row>
    <row r="82" spans="2:4" ht="15" x14ac:dyDescent="0.25">
      <c r="B82" s="17" t="s">
        <v>83</v>
      </c>
      <c r="C82" t="s">
        <v>81</v>
      </c>
      <c r="D82">
        <f>D81+(0.636*D81-0.107)</f>
        <v>2.0608000000000001E-2</v>
      </c>
    </row>
    <row r="83" spans="2:4" ht="15" x14ac:dyDescent="0.25">
      <c r="B83" s="17" t="s">
        <v>84</v>
      </c>
      <c r="C83" t="s">
        <v>81</v>
      </c>
      <c r="D83">
        <f>-81.975*D82+27.161</f>
        <v>25.471659200000001</v>
      </c>
    </row>
    <row r="84" spans="2:4" ht="15" x14ac:dyDescent="0.25">
      <c r="B84" s="17" t="s">
        <v>85</v>
      </c>
      <c r="C84" t="s">
        <v>81</v>
      </c>
      <c r="D84">
        <f>D83+(0.02*(D83^2)-0.113*D83-0.7)</f>
        <v>34.869470158418892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补充计算说明不采用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2024-12-24T09:56:54Z</dcterms:modified>
</cp:coreProperties>
</file>